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лькулятор" sheetId="2" state="visible" r:id="rId2"/>
    <sheet name="Сценарии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&quot; ₽&quot;"/>
    <numFmt numFmtId="166" formatCode="0.0&quot;x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i val="1"/>
      <color rgb="00666666"/>
      <sz val="8"/>
    </font>
    <font>
      <name val="Arial"/>
      <b val="1"/>
      <color rgb="00000000"/>
      <sz val="11"/>
    </font>
    <font>
      <name val="Arial"/>
      <color rgb="00008000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0" borderId="0" pivotButton="0" quotePrefix="0" xfId="0"/>
    <xf numFmtId="4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164" fontId="6" fillId="4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8" fillId="0" borderId="0" pivotButton="0" quotePrefix="0" xfId="0"/>
    <xf numFmtId="4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164" fontId="6" fillId="4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60" customWidth="1" min="4" max="4"/>
  </cols>
  <sheetData>
    <row r="1" ht="26" customHeight="1">
      <c r="A1" s="1" t="inlineStr">
        <is>
          <t>Калькулятор юнит-экономики — Wildberries (Китай, FBS / трансграница)</t>
        </is>
      </c>
      <c r="B1" s="2" t="n"/>
      <c r="C1" s="2" t="n"/>
      <c r="D1" s="2" t="n"/>
    </row>
    <row r="2">
      <c r="A2" s="3" t="inlineStr">
        <is>
          <t>Все суммы — в юанях (CNY), это валюта договора (п. 5.12 оферты). Курс — только для справочного отображения витрины в ₽.</t>
        </is>
      </c>
    </row>
    <row r="4">
      <c r="A4" s="4" t="inlineStr"/>
      <c r="D4" s="5" t="inlineStr"/>
    </row>
    <row r="5" ht="18" customHeight="1">
      <c r="A5" s="6" t="inlineStr">
        <is>
          <t>КАК ПОЛЬЗОВАТЬСЯ</t>
        </is>
      </c>
      <c r="B5" s="7" t="n"/>
      <c r="C5" s="7" t="n"/>
      <c r="D5" s="7" t="n"/>
    </row>
    <row r="6">
      <c r="A6" s="4" t="inlineStr">
        <is>
          <t>1.</t>
        </is>
      </c>
      <c r="D6" s="5" t="inlineStr">
        <is>
          <t>Откройте лист «Калькулятор». Заполняйте только ячейки, выделенные жёлтой заливкой и синим шрифтом — это входные данные.</t>
        </is>
      </c>
    </row>
    <row r="7">
      <c r="A7" s="4" t="inlineStr">
        <is>
          <t>2.</t>
        </is>
      </c>
      <c r="D7" s="5" t="inlineStr">
        <is>
          <t>Чёрный шрифт — расчётные ячейки (формулы). Их менять не нужно — они пересчитываются автоматически.</t>
        </is>
      </c>
    </row>
    <row r="8">
      <c r="A8" s="4" t="inlineStr">
        <is>
          <t>3.</t>
        </is>
      </c>
      <c r="D8" s="5" t="inlineStr">
        <is>
          <t>Проценты вводите как есть в поле (напр. 20% → введите 20 и знак %, либо 0,2). Итог — блок 13 внизу листа.</t>
        </is>
      </c>
    </row>
    <row r="9">
      <c r="A9" s="4" t="inlineStr">
        <is>
          <t>4.</t>
        </is>
      </c>
      <c r="D9" s="5" t="inlineStr">
        <is>
          <t>Лист «Сценарии» показывает, как меняется маржа при разной доле выкупа и ставке комиссии — на основе данных «Калькулятора».</t>
        </is>
      </c>
    </row>
    <row r="10">
      <c r="A10" s="4" t="inlineStr"/>
      <c r="D10" s="5" t="inlineStr"/>
    </row>
    <row r="11" ht="18" customHeight="1">
      <c r="A11" s="6" t="inlineStr">
        <is>
          <t>ЦВЕТОВАЯ ЛЕГЕНДА</t>
        </is>
      </c>
      <c r="B11" s="7" t="n"/>
      <c r="C11" s="7" t="n"/>
      <c r="D11" s="7" t="n"/>
    </row>
    <row r="12">
      <c r="A12" s="4" t="inlineStr">
        <is>
          <t>Синий шрифт / жёлтая заливка</t>
        </is>
      </c>
      <c r="D12" s="5" t="inlineStr">
        <is>
          <t>Ввод пользователя (заполнить своими цифрами)</t>
        </is>
      </c>
    </row>
    <row r="13">
      <c r="A13" s="4" t="inlineStr">
        <is>
          <t>Чёрный шрифт</t>
        </is>
      </c>
      <c r="D13" s="5" t="inlineStr">
        <is>
          <t>Формула (не трогать)</t>
        </is>
      </c>
    </row>
    <row r="14">
      <c r="A14" s="4" t="inlineStr">
        <is>
          <t>Зелёный шрифт</t>
        </is>
      </c>
      <c r="D14" s="5" t="inlineStr">
        <is>
          <t>Ссылка на другой лист</t>
        </is>
      </c>
    </row>
    <row r="15">
      <c r="A15" s="4" t="inlineStr"/>
      <c r="D15" s="5" t="inlineStr"/>
    </row>
    <row r="16" ht="18" customHeight="1">
      <c r="A16" s="6" t="inlineStr">
        <is>
          <t>МОДЕЛЬ ЗАТРАТ — привязка к пунктам оферты</t>
        </is>
      </c>
      <c r="B16" s="7" t="n"/>
      <c r="C16" s="7" t="n"/>
      <c r="D16" s="7" t="n"/>
    </row>
    <row r="17">
      <c r="A17" s="4" t="inlineStr">
        <is>
          <t>Комиссия ВБ</t>
        </is>
      </c>
      <c r="D17" s="5" t="inlineStr">
        <is>
          <t>В = Рц × кВВ (мин. 1%). Пп. 6.2, 12.2. Ставка кВВ — из тарифов, п. 6.6.</t>
        </is>
      </c>
    </row>
    <row r="18">
      <c r="A18" s="4" t="inlineStr">
        <is>
          <t>Фин. издержки (эквайринг+конвертация)</t>
        </is>
      </c>
      <c r="D18" s="5" t="inlineStr">
        <is>
          <t>Берутся СВЕРХ комиссии, отдельной строкой. П. 12.2.1 (обр. сила с 01.04.2024).</t>
        </is>
      </c>
    </row>
    <row r="19">
      <c r="A19" s="4" t="inlineStr">
        <is>
          <t>Логистика прямая</t>
        </is>
      </c>
      <c r="D19" s="5" t="inlineStr">
        <is>
          <t>РФ-формула 8 + (Б−1)×2 CNY (п. 13.1.11.1) ИЛИ весовая Ру = ФВз×ТФВз + Тз (п. 13.1.12). Из Китая — тариф из таблицы складов КНР.</t>
        </is>
      </c>
    </row>
    <row r="20">
      <c r="A20" s="4" t="inlineStr">
        <is>
          <t>Коэффициент Клх</t>
        </is>
      </c>
      <c r="D20" s="5" t="inlineStr">
        <is>
          <t>Множитель к логистике и хранению, зависит от точности габаритов (СоА): 1 / 1,5 / 2 / 3 / 4. П. 13.3. Нет габаритов → ×25 (п. 13.3.15).</t>
        </is>
      </c>
    </row>
    <row r="21">
      <c r="A21" s="4" t="inlineStr">
        <is>
          <t>Хранение</t>
        </is>
      </c>
      <c r="D21" s="5" t="inlineStr">
        <is>
          <t>Тариф за каждый день хранения × Клх. Пп. 5.12.3, 13.2.</t>
        </is>
      </c>
    </row>
    <row r="22">
      <c r="A22" s="4" t="inlineStr">
        <is>
          <t>Возвраты</t>
        </is>
      </c>
      <c r="D22" s="5" t="inlineStr">
        <is>
          <t>Обратная логистика 1× (возврат покупателем / не вывезен из КНР) или 2× (не прошёл таможню РФ). П. 13.1.14.</t>
        </is>
      </c>
    </row>
    <row r="23">
      <c r="A23" s="4" t="inlineStr">
        <is>
          <t>Утилизация</t>
        </is>
      </c>
      <c r="D23" s="5" t="inlineStr">
        <is>
          <t>Тариф за единицу при утиле невозвращаемого товара. П. 13.4.</t>
        </is>
      </c>
    </row>
    <row r="24">
      <c r="A24" s="4" t="inlineStr">
        <is>
          <t>Продвижение (ДРР)</t>
        </is>
      </c>
      <c r="D24" s="5" t="inlineStr">
        <is>
          <t>WB.Продвижение: CPM/CPO/CPC. П. 14. В модели — % от выручки.</t>
        </is>
      </c>
    </row>
    <row r="25">
      <c r="A25" s="4" t="inlineStr">
        <is>
          <t>Штрафы</t>
        </is>
      </c>
      <c r="D25" s="5" t="inlineStr">
        <is>
          <t>Лимит по обороту: 5% / 7,5% / 10% и т.д. П. 9.9.6. В модели — резерв на единицу.</t>
        </is>
      </c>
    </row>
    <row r="26">
      <c r="A26" s="4" t="inlineStr">
        <is>
          <t>НДС</t>
        </is>
      </c>
      <c r="D26" s="5" t="inlineStr">
        <is>
          <t>Цена включает косвенные налоги (п. 5.2). Ставка до 22% (п. 9.2.3). Неплательщик НДС → 0 (п. 6.8).</t>
        </is>
      </c>
    </row>
    <row r="27">
      <c r="A27" s="4" t="inlineStr">
        <is>
          <t>Выплата</t>
        </is>
      </c>
      <c r="D27" s="5" t="inlineStr">
        <is>
          <t>Порог 10 000 CNY/нед., цикл: неделя + 7 дн. + 10 раб. дн. Пп. 5.5–5.7. (Влияет на оборотку, не на маржу.)</t>
        </is>
      </c>
    </row>
    <row r="28">
      <c r="A28" s="4" t="inlineStr"/>
      <c r="D28" s="5" t="inlineStr"/>
    </row>
    <row r="29" ht="18" customHeight="1">
      <c r="A29" s="6" t="inlineStr">
        <is>
          <t>ВАЖНО</t>
        </is>
      </c>
      <c r="B29" s="7" t="n"/>
      <c r="C29" s="7" t="n"/>
      <c r="D29" s="7" t="n"/>
    </row>
  </sheetData>
  <mergeCells count="28">
    <mergeCell ref="A5:D5"/>
    <mergeCell ref="D4"/>
    <mergeCell ref="D12"/>
    <mergeCell ref="D18"/>
    <mergeCell ref="D9"/>
    <mergeCell ref="D8"/>
    <mergeCell ref="D25"/>
    <mergeCell ref="D15"/>
    <mergeCell ref="A29:D29"/>
    <mergeCell ref="D24"/>
    <mergeCell ref="D14"/>
    <mergeCell ref="D23"/>
    <mergeCell ref="D20"/>
    <mergeCell ref="D26"/>
    <mergeCell ref="D19"/>
    <mergeCell ref="D10"/>
    <mergeCell ref="A11:D11"/>
    <mergeCell ref="D22"/>
    <mergeCell ref="A1:D1"/>
    <mergeCell ref="D21"/>
    <mergeCell ref="D6"/>
    <mergeCell ref="A16:D16"/>
    <mergeCell ref="D13"/>
    <mergeCell ref="D27"/>
    <mergeCell ref="D17"/>
    <mergeCell ref="D7"/>
    <mergeCell ref="A2:D2"/>
    <mergeCell ref="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40" customWidth="1" min="4" max="4"/>
  </cols>
  <sheetData>
    <row r="1" ht="24" customHeight="1">
      <c r="A1" s="1" t="inlineStr">
        <is>
          <t>КАЛЬКУЛЯТОР ЮНИТ-ЭКОНОМИКИ (на 1 единицу, CNY)</t>
        </is>
      </c>
      <c r="B1" s="2" t="n"/>
      <c r="C1" s="2" t="n"/>
      <c r="D1" s="2" t="n"/>
    </row>
    <row r="2">
      <c r="A2" s="3" t="inlineStr">
        <is>
          <t>Жёлтые ячейки (синий шрифт) = ввод. Чёрные = формулы. Значения по умолчанию — пример (Китай→РФ).</t>
        </is>
      </c>
    </row>
    <row r="3">
      <c r="A3" s="8" t="inlineStr">
        <is>
          <t>Показатель</t>
        </is>
      </c>
      <c r="B3" s="9" t="inlineStr">
        <is>
          <t>Значение</t>
        </is>
      </c>
      <c r="C3" s="9" t="inlineStr">
        <is>
          <t>Ед.</t>
        </is>
      </c>
      <c r="D3" s="8" t="inlineStr">
        <is>
          <t>Пункт оферты / примечание</t>
        </is>
      </c>
    </row>
    <row r="4" ht="18" customHeight="1">
      <c r="A4" s="6" t="inlineStr">
        <is>
          <t>1. ВАЛЮТА И КУРС (справочно — витрина в ₽)</t>
        </is>
      </c>
      <c r="B4" s="7" t="n"/>
      <c r="C4" s="7" t="n"/>
      <c r="D4" s="7" t="n"/>
    </row>
    <row r="5">
      <c r="A5" s="10" t="inlineStr">
        <is>
          <t>Курс ЦБ, CNY→RUB</t>
        </is>
      </c>
      <c r="B5" s="11" t="n">
        <v>12</v>
      </c>
      <c r="C5" s="12" t="inlineStr">
        <is>
          <t>₽/¥</t>
        </is>
      </c>
      <c r="D5" s="13" t="inlineStr">
        <is>
          <t>Официальный курс ЦБ РФ</t>
        </is>
      </c>
    </row>
    <row r="6">
      <c r="A6" s="10" t="inlineStr">
        <is>
          <t>Наценка «Курс ВБ» (не более 10%)</t>
        </is>
      </c>
      <c r="B6" s="14" t="n">
        <v>0.08</v>
      </c>
      <c r="C6" s="12" t="inlineStr">
        <is>
          <t>%</t>
        </is>
      </c>
      <c r="D6" s="13" t="inlineStr">
        <is>
          <t>п. 5.1.1 — не выше курса ЦБ +10%</t>
        </is>
      </c>
    </row>
    <row r="7">
      <c r="A7" s="10" t="inlineStr">
        <is>
          <t>Курс ВБ (расчётный)</t>
        </is>
      </c>
      <c r="B7" s="15">
        <f>B5*(1+B6)</f>
        <v>12.96</v>
        <v/>
      </c>
      <c r="C7" s="12" t="inlineStr">
        <is>
          <t>₽/¥</t>
        </is>
      </c>
      <c r="D7" s="13" t="inlineStr">
        <is>
          <t>п. 5.1.1</t>
        </is>
      </c>
    </row>
    <row r="8" ht="18" customHeight="1">
      <c r="A8" s="6" t="inlineStr">
        <is>
          <t>2. ЦЕНА И СЕБЕСТОИМОСТЬ</t>
        </is>
      </c>
      <c r="B8" s="7" t="n"/>
      <c r="C8" s="7" t="n"/>
      <c r="D8" s="7" t="n"/>
    </row>
    <row r="9">
      <c r="A9" s="10" t="inlineStr">
        <is>
          <t>Розничная цена Рц (в юанях)</t>
        </is>
      </c>
      <c r="B9" s="11" t="n">
        <v>150</v>
      </c>
      <c r="C9" s="12" t="inlineStr">
        <is>
          <t>CNY</t>
        </is>
      </c>
      <c r="D9" s="13" t="inlineStr">
        <is>
          <t>п. 5.1 — задаётся в юанях</t>
        </is>
      </c>
    </row>
    <row r="10">
      <c r="A10" s="10" t="inlineStr">
        <is>
          <t>Цена на витрине (₽, справочно)</t>
        </is>
      </c>
      <c r="B10" s="16">
        <f>B9*B7</f>
        <v>1944.0000000000002</v>
        <v/>
      </c>
      <c r="C10" s="12" t="inlineStr">
        <is>
          <t>₽</t>
        </is>
      </c>
      <c r="D10" s="13" t="inlineStr">
        <is>
          <t>п. 5.1.1</t>
        </is>
      </c>
    </row>
    <row r="11">
      <c r="A11" s="10" t="inlineStr">
        <is>
          <t>Себестоимость закупки товара</t>
        </is>
      </c>
      <c r="B11" s="11" t="n">
        <v>45</v>
      </c>
      <c r="C11" s="12" t="inlineStr">
        <is>
          <t>CNY</t>
        </is>
      </c>
      <c r="D11" s="13" t="inlineStr">
        <is>
          <t>Ваши данные (закупка/производство)</t>
        </is>
      </c>
    </row>
    <row r="12" ht="18" customHeight="1">
      <c r="A12" s="6" t="inlineStr">
        <is>
          <t>3. КОМИССИЯ ВБ</t>
        </is>
      </c>
      <c r="B12" s="7" t="n"/>
      <c r="C12" s="7" t="n"/>
      <c r="D12" s="7" t="n"/>
    </row>
    <row r="13">
      <c r="A13" s="10" t="inlineStr">
        <is>
          <t>Ставка комиссии кВВ</t>
        </is>
      </c>
      <c r="B13" s="14" t="n">
        <v>0.2</v>
      </c>
      <c r="C13" s="12" t="inlineStr">
        <is>
          <t>%</t>
        </is>
      </c>
      <c r="D13" s="13" t="inlineStr">
        <is>
          <t>п. 6.6 — из тарифов категории</t>
        </is>
      </c>
    </row>
    <row r="14">
      <c r="A14" s="10" t="inlineStr">
        <is>
          <t>Применяемая кВВ (мин. 1%)</t>
        </is>
      </c>
      <c r="B14" s="17">
        <f>MAX(B13,0.01)</f>
        <v>0.2</v>
        <v/>
      </c>
      <c r="C14" s="12" t="inlineStr">
        <is>
          <t>%</t>
        </is>
      </c>
      <c r="D14" s="13" t="inlineStr">
        <is>
          <t>п. 12.2 — если &lt; 1%, считается 1%</t>
        </is>
      </c>
    </row>
    <row r="15">
      <c r="A15" s="10" t="inlineStr">
        <is>
          <t>Комиссия ВБ = Рц × кВВ</t>
        </is>
      </c>
      <c r="B15" s="15">
        <f>B9*B14</f>
        <v>30.0</v>
        <v/>
      </c>
      <c r="C15" s="12" t="inlineStr">
        <is>
          <t>CNY</t>
        </is>
      </c>
      <c r="D15" s="13" t="inlineStr">
        <is>
          <t>п. 12.2: В = Рц×кВВ − И</t>
        </is>
      </c>
    </row>
    <row r="16" ht="18" customHeight="1">
      <c r="A16" s="6" t="inlineStr">
        <is>
          <t>4. ФИН. ИЗДЕРЖКИ: эквайринг + конвертация (СВЕРХ комиссии)</t>
        </is>
      </c>
      <c r="B16" s="7" t="n"/>
      <c r="C16" s="7" t="n"/>
      <c r="D16" s="7" t="n"/>
    </row>
    <row r="17">
      <c r="A17" s="10" t="inlineStr">
        <is>
          <t>Ставка фин. издержек, % от Рц</t>
        </is>
      </c>
      <c r="B17" s="14" t="n">
        <v>0.03</v>
      </c>
      <c r="C17" s="12" t="inlineStr">
        <is>
          <t>%</t>
        </is>
      </c>
      <c r="D17" s="13" t="inlineStr">
        <is>
          <t>п. 12.2.1 — возмещаются доп. (п. 6.3)</t>
        </is>
      </c>
    </row>
    <row r="18">
      <c r="A18" s="10" t="inlineStr">
        <is>
          <t>Фин. издержки = Рц × ставка</t>
        </is>
      </c>
      <c r="B18" s="15">
        <f>B9*B17</f>
        <v>4.5</v>
        <v/>
      </c>
      <c r="C18" s="12" t="inlineStr">
        <is>
          <t>CNY</t>
        </is>
      </c>
      <c r="D18" s="13" t="inlineStr">
        <is>
          <t>п. 12.2.1</t>
        </is>
      </c>
    </row>
    <row r="19" ht="18" customHeight="1">
      <c r="A19" s="6" t="inlineStr">
        <is>
          <t>5. ГАБАРИТЫ И ВЕС УПАКОВКИ</t>
        </is>
      </c>
      <c r="B19" s="7" t="n"/>
      <c r="C19" s="7" t="n"/>
      <c r="D19" s="7" t="n"/>
    </row>
    <row r="20">
      <c r="A20" s="10" t="inlineStr">
        <is>
          <t>Длина</t>
        </is>
      </c>
      <c r="B20" s="11" t="n">
        <v>30</v>
      </c>
      <c r="C20" s="12" t="inlineStr">
        <is>
          <t>см</t>
        </is>
      </c>
      <c r="D20" s="13" t="inlineStr">
        <is>
          <t>Габарит с упаковкой</t>
        </is>
      </c>
    </row>
    <row r="21">
      <c r="A21" s="10" t="inlineStr">
        <is>
          <t>Ширина</t>
        </is>
      </c>
      <c r="B21" s="11" t="n">
        <v>25</v>
      </c>
      <c r="C21" s="12" t="inlineStr">
        <is>
          <t>см</t>
        </is>
      </c>
      <c r="D21" s="13" t="inlineStr">
        <is>
          <t>Габарит с упаковкой</t>
        </is>
      </c>
    </row>
    <row r="22">
      <c r="A22" s="10" t="inlineStr">
        <is>
          <t>Высота</t>
        </is>
      </c>
      <c r="B22" s="11" t="n">
        <v>5</v>
      </c>
      <c r="C22" s="12" t="inlineStr">
        <is>
          <t>см</t>
        </is>
      </c>
      <c r="D22" s="13" t="inlineStr">
        <is>
          <t>Габарит с упаковкой</t>
        </is>
      </c>
    </row>
    <row r="23">
      <c r="A23" s="10" t="inlineStr">
        <is>
          <t>Вес брутто</t>
        </is>
      </c>
      <c r="B23" s="11" t="n">
        <v>0.4</v>
      </c>
      <c r="C23" s="12" t="inlineStr">
        <is>
          <t>кг</t>
        </is>
      </c>
      <c r="D23" s="13" t="inlineStr">
        <is>
          <t>Макс. 20 кг для международки (п. 13.1.4)</t>
        </is>
      </c>
    </row>
    <row r="24">
      <c r="A24" s="10" t="inlineStr">
        <is>
          <t>Объём упаковки Б (округл. вверх, мин. 1)</t>
        </is>
      </c>
      <c r="B24" s="15">
        <f>MAX(1,CEILING(B20*B21*B22/1000,1))</f>
        <v>4.0</v>
        <v/>
      </c>
      <c r="C24" s="12" t="inlineStr">
        <is>
          <t>л</t>
        </is>
      </c>
      <c r="D24" s="13" t="inlineStr">
        <is>
          <t>п. 13.1.11.1</t>
        </is>
      </c>
    </row>
    <row r="25">
      <c r="A25" s="10" t="inlineStr">
        <is>
          <t>Физ. вес округл. до 100 г</t>
        </is>
      </c>
      <c r="B25" s="15">
        <f>CEILING(B23,0.1)</f>
        <v>0.4</v>
        <v/>
      </c>
      <c r="C25" s="12" t="inlineStr">
        <is>
          <t>кг</t>
        </is>
      </c>
      <c r="D25" s="13" t="inlineStr">
        <is>
          <t>п. 13.1.12</t>
        </is>
      </c>
    </row>
    <row r="26" ht="18" customHeight="1">
      <c r="A26" s="6" t="inlineStr">
        <is>
          <t>6. КОЭФФИЦИЕНТ ЛОГИСТИКИ И ХРАНЕНИЯ (Клх)</t>
        </is>
      </c>
      <c r="B26" s="7" t="n"/>
      <c r="C26" s="7" t="n"/>
      <c r="D26" s="7" t="n"/>
    </row>
    <row r="27">
      <c r="A27" s="10" t="inlineStr">
        <is>
          <t>Среднее отклонение габаритов (СоА)</t>
        </is>
      </c>
      <c r="B27" s="14" t="n">
        <v>0.08</v>
      </c>
      <c r="C27" s="12" t="inlineStr">
        <is>
          <t>%</t>
        </is>
      </c>
      <c r="D27" s="13" t="inlineStr">
        <is>
          <t>Факт vs карточка. п. 13.3.8</t>
        </is>
      </c>
    </row>
    <row r="28">
      <c r="A28" s="10" t="inlineStr">
        <is>
          <t>Клх (авто по таблице)</t>
        </is>
      </c>
      <c r="B28" s="18">
        <f>IF(B27&lt;=0.1,1,IF(B27&lt;=0.25,1.5,IF(B27&lt;=0.5,2,IF(B27&lt;=1,3,4))))</f>
        <v>1</v>
        <v/>
      </c>
      <c r="C28" s="12" t="inlineStr">
        <is>
          <t>×</t>
        </is>
      </c>
      <c r="D28" s="13" t="inlineStr">
        <is>
          <t>п. 13.3.7: ≤10%→1; ≤25%→1,5; ≤50%→2; ≤100%→3; &gt;100%→4</t>
        </is>
      </c>
    </row>
    <row r="29">
      <c r="A29" s="13" t="inlineStr">
        <is>
          <t>⚠ Если габариты в карточке НЕ указаны — коэффициент 25 (п. 13.3.15). Впишите 25 в Клх вручную.</t>
        </is>
      </c>
    </row>
    <row r="30" ht="18" customHeight="1">
      <c r="A30" s="6" t="inlineStr">
        <is>
          <t>7. ЛОГИСТИКА (прямая доставка)</t>
        </is>
      </c>
      <c r="B30" s="7" t="n"/>
      <c r="C30" s="7" t="n"/>
      <c r="D30" s="7" t="n"/>
    </row>
    <row r="31">
      <c r="A31" s="10" t="inlineStr">
        <is>
          <t>Метод расчёта (1 = формула РФ, 2 = вес/Китай)</t>
        </is>
      </c>
      <c r="B31" s="11" t="n">
        <v>1</v>
      </c>
      <c r="C31" s="12" t="inlineStr">
        <is>
          <t>1/2</t>
        </is>
      </c>
      <c r="D31" s="13" t="inlineStr">
        <is>
          <t>1: 8+(Б−1)×2 (внутри РФ, п.13.1.11.1); 2: весовой Ру (п.13.1.12) или тариф склада КНР</t>
        </is>
      </c>
    </row>
    <row r="32">
      <c r="A32" s="10" t="inlineStr">
        <is>
          <t xml:space="preserve">  Лог. по формуле РФ = 8 + (Б−1)×2</t>
        </is>
      </c>
      <c r="B32" s="15">
        <f>8+(B24-1)*2</f>
        <v>14.0</v>
        <v/>
      </c>
      <c r="C32" s="12" t="inlineStr">
        <is>
          <t>CNY</t>
        </is>
      </c>
      <c r="D32" s="13" t="inlineStr">
        <is>
          <t>п. 13.1.11.1: А=8, В=2 CNY</t>
        </is>
      </c>
    </row>
    <row r="33">
      <c r="A33" s="10" t="inlineStr">
        <is>
          <t xml:space="preserve">  Тариф за заказ (Тз)</t>
        </is>
      </c>
      <c r="B33" s="11" t="n">
        <v>5</v>
      </c>
      <c r="C33" s="12" t="inlineStr">
        <is>
          <t>CNY</t>
        </is>
      </c>
      <c r="D33" s="13" t="inlineStr">
        <is>
          <t>п. 13.1.12 / таблица складов КНР</t>
        </is>
      </c>
    </row>
    <row r="34">
      <c r="A34" s="10" t="inlineStr">
        <is>
          <t xml:space="preserve">  Тариф за вес (ТФВз), за 100 г</t>
        </is>
      </c>
      <c r="B34" s="11" t="n">
        <v>1</v>
      </c>
      <c r="C34" s="12" t="inlineStr">
        <is>
          <t>CNY</t>
        </is>
      </c>
      <c r="D34" s="13" t="inlineStr">
        <is>
          <t>п. 13.1.12</t>
        </is>
      </c>
    </row>
    <row r="35">
      <c r="A35" s="10" t="inlineStr">
        <is>
          <t xml:space="preserve">  Лог. весовая Ру = вес×ТФВз + Тз</t>
        </is>
      </c>
      <c r="B35" s="15">
        <f>B25*10*B34+B33</f>
        <v>9.0</v>
        <v/>
      </c>
      <c r="C35" s="12" t="inlineStr">
        <is>
          <t>CNY</t>
        </is>
      </c>
      <c r="D35" s="13" t="inlineStr">
        <is>
          <t>п. 13.1.12</t>
        </is>
      </c>
    </row>
    <row r="36">
      <c r="A36" s="10" t="inlineStr">
        <is>
          <t>Логистика прямая (с учётом Клх)</t>
        </is>
      </c>
      <c r="B36" s="15">
        <f>IF(B31=1,B32,B35)*B28</f>
        <v>14.0</v>
        <v/>
      </c>
      <c r="C36" s="12" t="inlineStr">
        <is>
          <t>CNY</t>
        </is>
      </c>
      <c r="D36" s="13" t="inlineStr">
        <is>
          <t>Выбранный метод × Клх. п. 13.1, 13.3.6</t>
        </is>
      </c>
    </row>
    <row r="37" ht="18" customHeight="1">
      <c r="A37" s="6" t="inlineStr">
        <is>
          <t>8. ХРАНЕНИЕ</t>
        </is>
      </c>
      <c r="B37" s="7" t="n"/>
      <c r="C37" s="7" t="n"/>
      <c r="D37" s="7" t="n"/>
    </row>
    <row r="38">
      <c r="A38" s="10" t="inlineStr">
        <is>
          <t>Тариф хранения за 1 день</t>
        </is>
      </c>
      <c r="B38" s="11" t="n">
        <v>0.1</v>
      </c>
      <c r="C38" s="12" t="inlineStr">
        <is>
          <t>CNY/дн</t>
        </is>
      </c>
      <c r="D38" s="13" t="inlineStr">
        <is>
          <t>п. 13.2, тарифы п. 6.6</t>
        </is>
      </c>
    </row>
    <row r="39">
      <c r="A39" s="10" t="inlineStr">
        <is>
          <t>Среднее число дней хранения</t>
        </is>
      </c>
      <c r="B39" s="11" t="n">
        <v>20</v>
      </c>
      <c r="C39" s="12" t="inlineStr">
        <is>
          <t>дн</t>
        </is>
      </c>
      <c r="D39" s="13" t="inlineStr">
        <is>
          <t>Оценка оборачиваемости</t>
        </is>
      </c>
    </row>
    <row r="40">
      <c r="A40" s="10" t="inlineStr">
        <is>
          <t>Хранение (с учётом Клх)</t>
        </is>
      </c>
      <c r="B40" s="15">
        <f>B38*B39*B28</f>
        <v>2.0</v>
        <v/>
      </c>
      <c r="C40" s="12" t="inlineStr">
        <is>
          <t>CNY</t>
        </is>
      </c>
      <c r="D40" s="13" t="inlineStr">
        <is>
          <t>п. 13.2, 13.3.6</t>
        </is>
      </c>
    </row>
    <row r="41" ht="18" customHeight="1">
      <c r="A41" s="6" t="inlineStr">
        <is>
          <t>9. ВЫКУП И ВОЗВРАТЫ</t>
        </is>
      </c>
      <c r="B41" s="7" t="n"/>
      <c r="C41" s="7" t="n"/>
      <c r="D41" s="7" t="n"/>
    </row>
    <row r="42">
      <c r="A42" s="10" t="inlineStr">
        <is>
          <t>Доля выкупа (sell-through)</t>
        </is>
      </c>
      <c r="B42" s="14" t="n">
        <v>0.7</v>
      </c>
      <c r="C42" s="12" t="inlineStr">
        <is>
          <t>%</t>
        </is>
      </c>
      <c r="D42" s="13" t="inlineStr">
        <is>
          <t>Доля заказов, ставших продажей</t>
        </is>
      </c>
    </row>
    <row r="43">
      <c r="A43" s="10" t="inlineStr">
        <is>
          <t>Возвратов на 1 продажу</t>
        </is>
      </c>
      <c r="B43" s="15">
        <f>IF(B42=0,0,(1-B42)/B42)</f>
        <v>0.42857142857142866</v>
        <v/>
      </c>
      <c r="C43" s="12" t="inlineStr">
        <is>
          <t>шт</t>
        </is>
      </c>
      <c r="D43" s="13" t="inlineStr">
        <is>
          <t>(1−выкуп)/выкуп</t>
        </is>
      </c>
    </row>
    <row r="44">
      <c r="A44" s="10" t="inlineStr">
        <is>
          <t>Множитель обратной логистики</t>
        </is>
      </c>
      <c r="B44" s="19" t="n">
        <v>1</v>
      </c>
      <c r="C44" s="12" t="inlineStr">
        <is>
          <t>×</t>
        </is>
      </c>
      <c r="D44" s="13" t="inlineStr">
        <is>
          <t>п. 13.1.14: 1× — возврат покупателем / не вывезен из КНР; 2× — не прошёл таможню РФ</t>
        </is>
      </c>
    </row>
    <row r="45">
      <c r="A45" s="10" t="inlineStr">
        <is>
          <t>Доля возвратов в утиль (не возвращаются)</t>
        </is>
      </c>
      <c r="B45" s="14" t="n">
        <v>0.5</v>
      </c>
      <c r="C45" s="12" t="inlineStr">
        <is>
          <t>%</t>
        </is>
      </c>
      <c r="D45" s="13" t="inlineStr">
        <is>
          <t>Часть возвратов утилизируется в РФ, товар теряется</t>
        </is>
      </c>
    </row>
    <row r="46" ht="18" customHeight="1">
      <c r="A46" s="6" t="inlineStr">
        <is>
          <t>10. УТИЛИЗАЦИЯ</t>
        </is>
      </c>
      <c r="B46" s="7" t="n"/>
      <c r="C46" s="7" t="n"/>
      <c r="D46" s="7" t="n"/>
    </row>
    <row r="47">
      <c r="A47" s="10" t="inlineStr">
        <is>
          <t>Тариф утилизации за единицу</t>
        </is>
      </c>
      <c r="B47" s="11" t="n">
        <v>3</v>
      </c>
      <c r="C47" s="12" t="inlineStr">
        <is>
          <t>CNY</t>
        </is>
      </c>
      <c r="D47" s="13" t="inlineStr">
        <is>
          <t>п. 13.4.4, тарифы п. 6.6</t>
        </is>
      </c>
    </row>
    <row r="48" ht="18" customHeight="1">
      <c r="A48" s="6" t="inlineStr">
        <is>
          <t>11. ПРОДВИЖЕНИЕ / ДРР</t>
        </is>
      </c>
      <c r="B48" s="7" t="n"/>
      <c r="C48" s="7" t="n"/>
      <c r="D48" s="7" t="n"/>
    </row>
    <row r="49">
      <c r="A49" s="10" t="inlineStr">
        <is>
          <t>ДРР (доля рекл. расходов от выручки)</t>
        </is>
      </c>
      <c r="B49" s="14" t="n">
        <v>0.08</v>
      </c>
      <c r="C49" s="12" t="inlineStr">
        <is>
          <t>%</t>
        </is>
      </c>
      <c r="D49" s="13" t="inlineStr">
        <is>
          <t>п. 14 — WB.Продвижение</t>
        </is>
      </c>
    </row>
    <row r="50">
      <c r="A50" s="10" t="inlineStr">
        <is>
          <t>Расходы на продвижение = Рц × ДРР</t>
        </is>
      </c>
      <c r="B50" s="15">
        <f>B9*B49</f>
        <v>12.0</v>
        <v/>
      </c>
      <c r="C50" s="12" t="inlineStr">
        <is>
          <t>CNY</t>
        </is>
      </c>
      <c r="D50" s="13" t="inlineStr">
        <is>
          <t>п. 14</t>
        </is>
      </c>
    </row>
    <row r="51" ht="18" customHeight="1">
      <c r="A51" s="6" t="inlineStr">
        <is>
          <t>12. НАЛОГИ И ШТРАФЫ</t>
        </is>
      </c>
      <c r="B51" s="7" t="n"/>
      <c r="C51" s="7" t="n"/>
      <c r="D51" s="7" t="n"/>
    </row>
    <row r="52">
      <c r="A52" s="10" t="inlineStr">
        <is>
          <t>Продавец — плательщик НДС в РФ? (1/0)</t>
        </is>
      </c>
      <c r="B52" s="11" t="n">
        <v>0</v>
      </c>
      <c r="C52" s="12" t="inlineStr">
        <is>
          <t>1/0</t>
        </is>
      </c>
      <c r="D52" s="13" t="inlineStr">
        <is>
          <t>п. 6.8 — если 0, НДС и с/ф не начисляются</t>
        </is>
      </c>
    </row>
    <row r="53">
      <c r="A53" s="10" t="inlineStr">
        <is>
          <t>Ставка НДС</t>
        </is>
      </c>
      <c r="B53" s="14" t="n">
        <v>0.22</v>
      </c>
      <c r="C53" s="12" t="inlineStr">
        <is>
          <t>%</t>
        </is>
      </c>
      <c r="D53" s="13" t="inlineStr">
        <is>
          <t>п. 9.2.3 — до 22% (если применимо)</t>
        </is>
      </c>
    </row>
    <row r="54">
      <c r="A54" s="10" t="inlineStr">
        <is>
          <t>НДС с реализации (цена вкл. НДС)</t>
        </is>
      </c>
      <c r="B54" s="15">
        <f>IF(B52=1,B9-B9/(1+B53),0)</f>
        <v>0</v>
        <v/>
      </c>
      <c r="C54" s="12" t="inlineStr">
        <is>
          <t>CNY</t>
        </is>
      </c>
      <c r="D54" s="13" t="inlineStr">
        <is>
          <t>п. 5.2, 9.2.3</t>
        </is>
      </c>
    </row>
    <row r="55">
      <c r="A55" s="10" t="inlineStr">
        <is>
          <t>Резерв на штрафы (на единицу)</t>
        </is>
      </c>
      <c r="B55" s="11" t="n">
        <v>1</v>
      </c>
      <c r="C55" s="12" t="inlineStr">
        <is>
          <t>CNY</t>
        </is>
      </c>
      <c r="D55" s="13" t="inlineStr">
        <is>
          <t>п. 9.9.6 — лимит по обороту</t>
        </is>
      </c>
    </row>
    <row r="56" ht="18" customHeight="1">
      <c r="A56" s="6" t="inlineStr">
        <is>
          <t>13. ИТОГ — на 1 ВЫКУПЛЕННУЮ единицу (с аллокацией возвратов), CNY</t>
        </is>
      </c>
      <c r="B56" s="7" t="n"/>
      <c r="C56" s="7" t="n"/>
      <c r="D56" s="7" t="n"/>
    </row>
    <row r="57">
      <c r="A57" s="20" t="inlineStr">
        <is>
          <t>Выручка (Рц)</t>
        </is>
      </c>
      <c r="B57" s="21">
        <f>B9</f>
        <v>150</v>
        <v/>
      </c>
      <c r="C57" s="12" t="inlineStr">
        <is>
          <t>CNY</t>
        </is>
      </c>
      <c r="D57" s="13" t="inlineStr">
        <is>
          <t>п. 5.4</t>
        </is>
      </c>
    </row>
    <row r="58">
      <c r="A58" s="10" t="inlineStr">
        <is>
          <t>(−) Себестоимость товара</t>
        </is>
      </c>
      <c r="B58" s="15">
        <f>B11</f>
        <v>45</v>
        <v/>
      </c>
      <c r="C58" s="12" t="inlineStr">
        <is>
          <t>CNY</t>
        </is>
      </c>
      <c r="D58" s="13" t="inlineStr">
        <is>
          <t>Закупка</t>
        </is>
      </c>
    </row>
    <row r="59">
      <c r="A59" s="10" t="inlineStr">
        <is>
          <t>(−) Комиссия ВБ</t>
        </is>
      </c>
      <c r="B59" s="15">
        <f>B15</f>
        <v>30.0</v>
        <v/>
      </c>
      <c r="C59" s="12" t="inlineStr">
        <is>
          <t>CNY</t>
        </is>
      </c>
      <c r="D59" s="13" t="inlineStr">
        <is>
          <t>п. 12.2</t>
        </is>
      </c>
    </row>
    <row r="60">
      <c r="A60" s="10" t="inlineStr">
        <is>
          <t>(−) Фин. издержки (эквайринг)</t>
        </is>
      </c>
      <c r="B60" s="15">
        <f>B18</f>
        <v>4.5</v>
        <v/>
      </c>
      <c r="C60" s="12" t="inlineStr">
        <is>
          <t>CNY</t>
        </is>
      </c>
      <c r="D60" s="13" t="inlineStr">
        <is>
          <t>п. 12.2.1</t>
        </is>
      </c>
    </row>
    <row r="61">
      <c r="A61" s="10" t="inlineStr">
        <is>
          <t>(−) Логистика прямая (на все заказы)</t>
        </is>
      </c>
      <c r="B61" s="15">
        <f>IF(B42=0,0,B36/B42)</f>
        <v>20.0</v>
        <v/>
      </c>
      <c r="C61" s="12" t="inlineStr">
        <is>
          <t>CNY</t>
        </is>
      </c>
      <c r="D61" s="13" t="inlineStr">
        <is>
          <t>Лог. платится за каждый заказ, вкл. невыкупленные</t>
        </is>
      </c>
    </row>
    <row r="62">
      <c r="A62" s="10" t="inlineStr">
        <is>
          <t>(−) Логистика обратная (возвраты)</t>
        </is>
      </c>
      <c r="B62" s="15">
        <f>B36*B44*B43</f>
        <v>6.000000000000001</v>
        <v/>
      </c>
      <c r="C62" s="12" t="inlineStr">
        <is>
          <t>CNY</t>
        </is>
      </c>
      <c r="D62" s="13" t="inlineStr">
        <is>
          <t>п. 13.1.14</t>
        </is>
      </c>
    </row>
    <row r="63">
      <c r="A63" s="10" t="inlineStr">
        <is>
          <t>(−) Потеря товара на утиль (возвраты)</t>
        </is>
      </c>
      <c r="B63" s="15">
        <f>B11*B43*B45</f>
        <v>9.642857142857144</v>
        <v/>
      </c>
      <c r="C63" s="12" t="inlineStr">
        <is>
          <t>CNY</t>
        </is>
      </c>
      <c r="D63" s="13" t="inlineStr">
        <is>
          <t>Себестоимость утиль. возвратов</t>
        </is>
      </c>
    </row>
    <row r="64">
      <c r="A64" s="10" t="inlineStr">
        <is>
          <t>(−) Утилизация (услуга)</t>
        </is>
      </c>
      <c r="B64" s="15">
        <f>B47*B43*B45</f>
        <v>0.642857142857143</v>
        <v/>
      </c>
      <c r="C64" s="12" t="inlineStr">
        <is>
          <t>CNY</t>
        </is>
      </c>
      <c r="D64" s="13" t="inlineStr">
        <is>
          <t>п. 13.4</t>
        </is>
      </c>
    </row>
    <row r="65">
      <c r="A65" s="10" t="inlineStr">
        <is>
          <t>(−) Хранение</t>
        </is>
      </c>
      <c r="B65" s="15">
        <f>B40</f>
        <v>2.0</v>
        <v/>
      </c>
      <c r="C65" s="12" t="inlineStr">
        <is>
          <t>CNY</t>
        </is>
      </c>
      <c r="D65" s="13" t="inlineStr">
        <is>
          <t>п. 13.2</t>
        </is>
      </c>
    </row>
    <row r="66">
      <c r="A66" s="10" t="inlineStr">
        <is>
          <t>(−) Продвижение (ДРР)</t>
        </is>
      </c>
      <c r="B66" s="15">
        <f>B50</f>
        <v>12.0</v>
        <v/>
      </c>
      <c r="C66" s="12" t="inlineStr">
        <is>
          <t>CNY</t>
        </is>
      </c>
      <c r="D66" s="13" t="inlineStr">
        <is>
          <t>п. 14</t>
        </is>
      </c>
    </row>
    <row r="67">
      <c r="A67" s="10" t="inlineStr">
        <is>
          <t>(−) НДС</t>
        </is>
      </c>
      <c r="B67" s="15">
        <f>B54</f>
        <v>0</v>
        <v/>
      </c>
      <c r="C67" s="12" t="inlineStr">
        <is>
          <t>CNY</t>
        </is>
      </c>
      <c r="D67" s="13" t="inlineStr">
        <is>
          <t>п. 9.2.3</t>
        </is>
      </c>
    </row>
    <row r="68">
      <c r="A68" s="10" t="inlineStr">
        <is>
          <t>(−) Резерв на штрафы</t>
        </is>
      </c>
      <c r="B68" s="15">
        <f>B55</f>
        <v>1</v>
        <v/>
      </c>
      <c r="C68" s="12" t="inlineStr">
        <is>
          <t>CNY</t>
        </is>
      </c>
      <c r="D68" s="13" t="inlineStr">
        <is>
          <t>п. 9.9.6</t>
        </is>
      </c>
    </row>
    <row r="69">
      <c r="A69" s="10" t="inlineStr">
        <is>
          <t>ИТОГО затраты</t>
        </is>
      </c>
      <c r="B69" s="15">
        <f>SUM(B58:B68)</f>
        <v>130.78571428571428</v>
        <v/>
      </c>
      <c r="C69" s="12" t="inlineStr">
        <is>
          <t>CNY</t>
        </is>
      </c>
      <c r="D69" s="13" t="inlineStr">
        <is>
          <t>Сумма всех расходов</t>
        </is>
      </c>
    </row>
    <row r="70">
      <c r="A70" s="20" t="inlineStr">
        <is>
          <t>ПРИБЫЛЬ на выкупленную единицу</t>
        </is>
      </c>
      <c r="B70" s="21">
        <f>B57-B69</f>
        <v>19.214285714285722</v>
        <v/>
      </c>
      <c r="C70" s="12" t="inlineStr">
        <is>
          <t>CNY</t>
        </is>
      </c>
      <c r="D70" s="13" t="inlineStr">
        <is>
          <t>Выручка − Затраты</t>
        </is>
      </c>
    </row>
    <row r="71">
      <c r="A71" s="20" t="inlineStr">
        <is>
          <t>Маржинальность (% от выручки)</t>
        </is>
      </c>
      <c r="B71" s="22">
        <f>IF(B57=0,0,B70/B57)</f>
        <v>0.12809523809523815</v>
        <v/>
      </c>
      <c r="C71" s="12" t="inlineStr">
        <is>
          <t>%</t>
        </is>
      </c>
      <c r="D71" s="13" t="inlineStr">
        <is>
          <t>Прибыль / Выручка</t>
        </is>
      </c>
    </row>
    <row r="72">
      <c r="A72" s="10" t="inlineStr">
        <is>
          <t>Наценка к себестоимости</t>
        </is>
      </c>
      <c r="B72" s="17">
        <f>IF(B11=0,0,B70/B11)</f>
        <v>0.4269841269841272</v>
        <v/>
      </c>
      <c r="C72" s="12" t="inlineStr">
        <is>
          <t>%</t>
        </is>
      </c>
      <c r="D72" s="13" t="inlineStr">
        <is>
          <t>Прибыль / Себестоимость</t>
        </is>
      </c>
    </row>
    <row r="73">
      <c r="A73" s="10" t="inlineStr">
        <is>
          <t>Прибыль в ₽ (справочно)</t>
        </is>
      </c>
      <c r="B73" s="16">
        <f>B70*B7</f>
        <v>249.01714285714297</v>
        <v/>
      </c>
      <c r="C73" s="12" t="inlineStr">
        <is>
          <t>₽</t>
        </is>
      </c>
      <c r="D73" s="13" t="inlineStr">
        <is>
          <t>по Курсу ВБ</t>
        </is>
      </c>
    </row>
  </sheetData>
  <mergeCells count="16">
    <mergeCell ref="A1:D1"/>
    <mergeCell ref="A37:D37"/>
    <mergeCell ref="A56:D56"/>
    <mergeCell ref="A8:D8"/>
    <mergeCell ref="A12:D12"/>
    <mergeCell ref="A4:D4"/>
    <mergeCell ref="A48:D48"/>
    <mergeCell ref="A26:D26"/>
    <mergeCell ref="A30:D30"/>
    <mergeCell ref="A29:D29"/>
    <mergeCell ref="A41:D41"/>
    <mergeCell ref="A2:D2"/>
    <mergeCell ref="A16:D16"/>
    <mergeCell ref="A19:D19"/>
    <mergeCell ref="A51:D51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СЦЕНАРИИ И ЧУВСТВИТЕЛЬНОСТЬ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Значения тянутся с листа «Калькулятор». Меняйте входные данные там — таблицы пересчитаются.</t>
        </is>
      </c>
    </row>
    <row r="4" ht="18" customHeight="1">
      <c r="A4" s="6" t="inlineStr">
        <is>
          <t>Параметры (из «Калькулятора»)</t>
        </is>
      </c>
      <c r="B4" s="7" t="n"/>
      <c r="C4" s="7" t="n"/>
    </row>
    <row r="5">
      <c r="A5" s="10" t="inlineStr">
        <is>
          <t>Розничная цена Рц</t>
        </is>
      </c>
      <c r="B5" s="23">
        <f>Калькулятор!B9</f>
        <v>150</v>
        <v/>
      </c>
    </row>
    <row r="6">
      <c r="A6" s="10" t="inlineStr">
        <is>
          <t>Себестоимость</t>
        </is>
      </c>
      <c r="B6" s="23">
        <f>Калькулятор!B11</f>
        <v>45</v>
        <v/>
      </c>
    </row>
    <row r="7">
      <c r="A7" s="10" t="inlineStr">
        <is>
          <t>Фин. издержки</t>
        </is>
      </c>
      <c r="B7" s="23">
        <f>Калькулятор!B18</f>
        <v>4.5</v>
        <v/>
      </c>
    </row>
    <row r="8">
      <c r="A8" s="10" t="inlineStr">
        <is>
          <t>Логистика прямая (с Клх)</t>
        </is>
      </c>
      <c r="B8" s="23">
        <f>Калькулятор!B36</f>
        <v>14.0</v>
        <v/>
      </c>
    </row>
    <row r="9">
      <c r="A9" s="10" t="inlineStr">
        <is>
          <t>Множитель обр. логистики</t>
        </is>
      </c>
      <c r="B9" s="23">
        <f>Калькулятор!B44</f>
        <v>1</v>
        <v/>
      </c>
    </row>
    <row r="10">
      <c r="A10" s="10" t="inlineStr">
        <is>
          <t>Доля возвратов в утиль</t>
        </is>
      </c>
      <c r="B10" s="23">
        <f>Калькулятор!B45</f>
        <v>0.5</v>
        <v/>
      </c>
    </row>
    <row r="11">
      <c r="A11" s="10" t="inlineStr">
        <is>
          <t>Тариф утилизации</t>
        </is>
      </c>
      <c r="B11" s="23">
        <f>Калькулятор!B47</f>
        <v>3</v>
        <v/>
      </c>
    </row>
    <row r="12">
      <c r="A12" s="10" t="inlineStr">
        <is>
          <t>Хранение</t>
        </is>
      </c>
      <c r="B12" s="23">
        <f>Калькулятор!B40</f>
        <v>2.0</v>
        <v/>
      </c>
    </row>
    <row r="13">
      <c r="A13" s="10" t="inlineStr">
        <is>
          <t>Продвижение</t>
        </is>
      </c>
      <c r="B13" s="23">
        <f>Калькулятор!B50</f>
        <v>12.0</v>
        <v/>
      </c>
    </row>
    <row r="14">
      <c r="A14" s="10" t="inlineStr">
        <is>
          <t>НДС</t>
        </is>
      </c>
      <c r="B14" s="23">
        <f>Калькулятор!B54</f>
        <v>0</v>
        <v/>
      </c>
    </row>
    <row r="15">
      <c r="A15" s="10" t="inlineStr">
        <is>
          <t>Резерв штрафы</t>
        </is>
      </c>
      <c r="B15" s="23">
        <f>Калькулятор!B55</f>
        <v>1</v>
        <v/>
      </c>
    </row>
    <row r="16">
      <c r="A16" s="10" t="inlineStr">
        <is>
          <t>Базовая ставка кВВ</t>
        </is>
      </c>
      <c r="B16" s="23">
        <f>Калькулятор!B14</f>
        <v>0.2</v>
        <v/>
      </c>
    </row>
    <row r="18" ht="18" customHeight="1">
      <c r="A18" s="6" t="inlineStr">
        <is>
          <t>Чувствительность к доле ВЫКУПА (комиссия — базовая)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24" t="inlineStr">
        <is>
          <t>Доля выкупа →</t>
        </is>
      </c>
      <c r="C19" s="25" t="n">
        <v>0.4</v>
      </c>
      <c r="D19" s="25" t="n">
        <v>0.5</v>
      </c>
      <c r="E19" s="25" t="n">
        <v>0.6</v>
      </c>
      <c r="F19" s="25" t="n">
        <v>0.7</v>
      </c>
      <c r="G19" s="25" t="n">
        <v>0.8</v>
      </c>
      <c r="H19" s="25" t="n">
        <v>0.9</v>
      </c>
      <c r="I19" s="25" t="n">
        <v>1</v>
      </c>
    </row>
    <row r="20">
      <c r="A20" s="10" t="inlineStr">
        <is>
          <t>Прибыль, CNY</t>
        </is>
      </c>
      <c r="C20" s="26">
        <f>$B$5-$B$6-$B$5*$B$16-$B$7-IF(C$19=0,0,$B$8/C$19)-$B$8*$B$9*IF(C$19=0,0,(1-C$19)/C$19)-$B$6*IF(C$19=0,0,(1-C$19)/C$19)*$B$10-$B$11*IF(C$19=0,0,(1-C$19)/C$19)*$B$10-$B$12-$B$13-$B$14-$B$15</f>
        <v>-36.499999999999986</v>
        <v/>
      </c>
      <c r="D20" s="26">
        <f>$B$5-$B$6-$B$5*$B$16-$B$7-IF(D$19=0,0,$B$8/D$19)-$B$8*$B$9*IF(D$19=0,0,(1-D$19)/D$19)-$B$6*IF(D$19=0,0,(1-D$19)/D$19)*$B$10-$B$11*IF(D$19=0,0,(1-D$19)/D$19)*$B$10-$B$12-$B$13-$B$14-$B$15</f>
        <v>-10.5</v>
        <v/>
      </c>
      <c r="E20" s="26">
        <f>$B$5-$B$6-$B$5*$B$16-$B$7-IF(E$19=0,0,$B$8/E$19)-$B$8*$B$9*IF(E$19=0,0,(1-E$19)/E$19)-$B$6*IF(E$19=0,0,(1-E$19)/E$19)*$B$10-$B$11*IF(E$19=0,0,(1-E$19)/E$19)*$B$10-$B$12-$B$13-$B$14-$B$15</f>
        <v>6.833333333333329</v>
        <v/>
      </c>
      <c r="F20" s="26">
        <f>$B$5-$B$6-$B$5*$B$16-$B$7-IF(F$19=0,0,$B$8/F$19)-$B$8*$B$9*IF(F$19=0,0,(1-F$19)/F$19)-$B$6*IF(F$19=0,0,(1-F$19)/F$19)*$B$10-$B$11*IF(F$19=0,0,(1-F$19)/F$19)*$B$10-$B$12-$B$13-$B$14-$B$15</f>
        <v>19.214285714285708</v>
        <v/>
      </c>
      <c r="G20" s="26">
        <f>$B$5-$B$6-$B$5*$B$16-$B$7-IF(G$19=0,0,$B$8/G$19)-$B$8*$B$9*IF(G$19=0,0,(1-G$19)/G$19)-$B$6*IF(G$19=0,0,(1-G$19)/G$19)*$B$10-$B$11*IF(G$19=0,0,(1-G$19)/G$19)*$B$10-$B$12-$B$13-$B$14-$B$15</f>
        <v>28.5</v>
        <v/>
      </c>
      <c r="H20" s="26">
        <f>$B$5-$B$6-$B$5*$B$16-$B$7-IF(H$19=0,0,$B$8/H$19)-$B$8*$B$9*IF(H$19=0,0,(1-H$19)/H$19)-$B$6*IF(H$19=0,0,(1-H$19)/H$19)*$B$10-$B$11*IF(H$19=0,0,(1-H$19)/H$19)*$B$10-$B$12-$B$13-$B$14-$B$15</f>
        <v>35.72222222222222</v>
        <v/>
      </c>
      <c r="I20" s="26">
        <f>$B$5-$B$6-$B$5*$B$16-$B$7-IF(I$19=0,0,$B$8/I$19)-$B$8*$B$9*IF(I$19=0,0,(1-I$19)/I$19)-$B$6*IF(I$19=0,0,(1-I$19)/I$19)*$B$10-$B$11*IF(I$19=0,0,(1-I$19)/I$19)*$B$10-$B$12-$B$13-$B$14-$B$15</f>
        <v>41.5</v>
        <v/>
      </c>
    </row>
    <row r="21">
      <c r="A21" s="20" t="inlineStr">
        <is>
          <t>Маржа, %</t>
        </is>
      </c>
      <c r="C21" s="27">
        <f>IF($B$5=0,0,C20/$B$5)</f>
        <v>-0.24333333333333323</v>
        <v/>
      </c>
      <c r="D21" s="27">
        <f>IF($B$5=0,0,D20/$B$5)</f>
        <v>-0.07</v>
        <v/>
      </c>
      <c r="E21" s="27">
        <f>IF($B$5=0,0,E20/$B$5)</f>
        <v>0.04555555555555552</v>
        <v/>
      </c>
      <c r="F21" s="27">
        <f>IF($B$5=0,0,F20/$B$5)</f>
        <v>0.12809523809523807</v>
        <v/>
      </c>
      <c r="G21" s="27">
        <f>IF($B$5=0,0,G20/$B$5)</f>
        <v>0.19</v>
        <v/>
      </c>
      <c r="H21" s="27">
        <f>IF($B$5=0,0,H20/$B$5)</f>
        <v>0.23814814814814814</v>
        <v/>
      </c>
      <c r="I21" s="27">
        <f>IF($B$5=0,0,I20/$B$5)</f>
        <v>0.27666666666666667</v>
        <v/>
      </c>
    </row>
    <row r="24" ht="18" customHeight="1">
      <c r="A24" s="6" t="inlineStr">
        <is>
          <t>Маржа, %: ВЫКУП (строки) × КОМИССИЯ кВВ (столбцы)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28" t="inlineStr">
        <is>
          <t>выкуп ↓ / кВВ →</t>
        </is>
      </c>
      <c r="B25" s="25" t="n">
        <v>0.1</v>
      </c>
      <c r="C25" s="25" t="n">
        <v>0.15</v>
      </c>
      <c r="D25" s="25" t="n">
        <v>0.2</v>
      </c>
      <c r="E25" s="25" t="n">
        <v>0.25</v>
      </c>
      <c r="F25" s="25" t="n">
        <v>0.3</v>
      </c>
    </row>
    <row r="26">
      <c r="A26" s="25" t="n">
        <v>0.5</v>
      </c>
      <c r="B26" s="29">
        <f>IF($B$5=0,0,($B$5-$B$6-$B$5*B$25-$B$7-IF($A26=0,0,$B$8/$A26)-$B$8*$B$9*IF($A26=0,0,(1-$A26)/$A26)-$B$6*IF($A26=0,0,(1-$A26)/$A26)*$B$10-$B$11*IF($A26=0,0,(1-$A26)/$A26)*$B$10-$B$12-$B$13-$B$14-$B$15)/$B$5)</f>
        <v>0.03</v>
        <v/>
      </c>
      <c r="C26" s="29">
        <f>IF($B$5=0,0,($B$5-$B$6-$B$5*C$25-$B$7-IF($A26=0,0,$B$8/$A26)-$B$8*$B$9*IF($A26=0,0,(1-$A26)/$A26)-$B$6*IF($A26=0,0,(1-$A26)/$A26)*$B$10-$B$11*IF($A26=0,0,(1-$A26)/$A26)*$B$10-$B$12-$B$13-$B$14-$B$15)/$B$5)</f>
        <v>-0.02</v>
        <v/>
      </c>
      <c r="D26" s="29">
        <f>IF($B$5=0,0,($B$5-$B$6-$B$5*D$25-$B$7-IF($A26=0,0,$B$8/$A26)-$B$8*$B$9*IF($A26=0,0,(1-$A26)/$A26)-$B$6*IF($A26=0,0,(1-$A26)/$A26)*$B$10-$B$11*IF($A26=0,0,(1-$A26)/$A26)*$B$10-$B$12-$B$13-$B$14-$B$15)/$B$5)</f>
        <v>-0.07</v>
        <v/>
      </c>
      <c r="E26" s="29">
        <f>IF($B$5=0,0,($B$5-$B$6-$B$5*E$25-$B$7-IF($A26=0,0,$B$8/$A26)-$B$8*$B$9*IF($A26=0,0,(1-$A26)/$A26)-$B$6*IF($A26=0,0,(1-$A26)/$A26)*$B$10-$B$11*IF($A26=0,0,(1-$A26)/$A26)*$B$10-$B$12-$B$13-$B$14-$B$15)/$B$5)</f>
        <v>-0.12</v>
        <v/>
      </c>
      <c r="F26" s="29">
        <f>IF($B$5=0,0,($B$5-$B$6-$B$5*F$25-$B$7-IF($A26=0,0,$B$8/$A26)-$B$8*$B$9*IF($A26=0,0,(1-$A26)/$A26)-$B$6*IF($A26=0,0,(1-$A26)/$A26)*$B$10-$B$11*IF($A26=0,0,(1-$A26)/$A26)*$B$10-$B$12-$B$13-$B$14-$B$15)/$B$5)</f>
        <v>-0.17</v>
        <v/>
      </c>
    </row>
    <row r="27">
      <c r="A27" s="25" t="n">
        <v>0.6</v>
      </c>
      <c r="B27" s="29">
        <f>IF($B$5=0,0,($B$5-$B$6-$B$5*B$25-$B$7-IF($A27=0,0,$B$8/$A27)-$B$8*$B$9*IF($A27=0,0,(1-$A27)/$A27)-$B$6*IF($A27=0,0,(1-$A27)/$A27)*$B$10-$B$11*IF($A27=0,0,(1-$A27)/$A27)*$B$10-$B$12-$B$13-$B$14-$B$15)/$B$5)</f>
        <v>0.14555555555555552</v>
        <v/>
      </c>
      <c r="C27" s="29">
        <f>IF($B$5=0,0,($B$5-$B$6-$B$5*C$25-$B$7-IF($A27=0,0,$B$8/$A27)-$B$8*$B$9*IF($A27=0,0,(1-$A27)/$A27)-$B$6*IF($A27=0,0,(1-$A27)/$A27)*$B$10-$B$11*IF($A27=0,0,(1-$A27)/$A27)*$B$10-$B$12-$B$13-$B$14-$B$15)/$B$5)</f>
        <v>0.09555555555555552</v>
        <v/>
      </c>
      <c r="D27" s="29">
        <f>IF($B$5=0,0,($B$5-$B$6-$B$5*D$25-$B$7-IF($A27=0,0,$B$8/$A27)-$B$8*$B$9*IF($A27=0,0,(1-$A27)/$A27)-$B$6*IF($A27=0,0,(1-$A27)/$A27)*$B$10-$B$11*IF($A27=0,0,(1-$A27)/$A27)*$B$10-$B$12-$B$13-$B$14-$B$15)/$B$5)</f>
        <v>0.04555555555555552</v>
        <v/>
      </c>
      <c r="E27" s="29">
        <f>IF($B$5=0,0,($B$5-$B$6-$B$5*E$25-$B$7-IF($A27=0,0,$B$8/$A27)-$B$8*$B$9*IF($A27=0,0,(1-$A27)/$A27)-$B$6*IF($A27=0,0,(1-$A27)/$A27)*$B$10-$B$11*IF($A27=0,0,(1-$A27)/$A27)*$B$10-$B$12-$B$13-$B$14-$B$15)/$B$5)</f>
        <v>-0.004444444444444488</v>
        <v/>
      </c>
      <c r="F27" s="29">
        <f>IF($B$5=0,0,($B$5-$B$6-$B$5*F$25-$B$7-IF($A27=0,0,$B$8/$A27)-$B$8*$B$9*IF($A27=0,0,(1-$A27)/$A27)-$B$6*IF($A27=0,0,(1-$A27)/$A27)*$B$10-$B$11*IF($A27=0,0,(1-$A27)/$A27)*$B$10-$B$12-$B$13-$B$14-$B$15)/$B$5)</f>
        <v>-0.05444444444444449</v>
        <v/>
      </c>
    </row>
    <row r="28">
      <c r="A28" s="25" t="n">
        <v>0.7</v>
      </c>
      <c r="B28" s="29">
        <f>IF($B$5=0,0,($B$5-$B$6-$B$5*B$25-$B$7-IF($A28=0,0,$B$8/$A28)-$B$8*$B$9*IF($A28=0,0,(1-$A28)/$A28)-$B$6*IF($A28=0,0,(1-$A28)/$A28)*$B$10-$B$11*IF($A28=0,0,(1-$A28)/$A28)*$B$10-$B$12-$B$13-$B$14-$B$15)/$B$5)</f>
        <v>0.22809523809523805</v>
        <v/>
      </c>
      <c r="C28" s="29">
        <f>IF($B$5=0,0,($B$5-$B$6-$B$5*C$25-$B$7-IF($A28=0,0,$B$8/$A28)-$B$8*$B$9*IF($A28=0,0,(1-$A28)/$A28)-$B$6*IF($A28=0,0,(1-$A28)/$A28)*$B$10-$B$11*IF($A28=0,0,(1-$A28)/$A28)*$B$10-$B$12-$B$13-$B$14-$B$15)/$B$5)</f>
        <v>0.17809523809523806</v>
        <v/>
      </c>
      <c r="D28" s="29">
        <f>IF($B$5=0,0,($B$5-$B$6-$B$5*D$25-$B$7-IF($A28=0,0,$B$8/$A28)-$B$8*$B$9*IF($A28=0,0,(1-$A28)/$A28)-$B$6*IF($A28=0,0,(1-$A28)/$A28)*$B$10-$B$11*IF($A28=0,0,(1-$A28)/$A28)*$B$10-$B$12-$B$13-$B$14-$B$15)/$B$5)</f>
        <v>0.12809523809523807</v>
        <v/>
      </c>
      <c r="E28" s="29">
        <f>IF($B$5=0,0,($B$5-$B$6-$B$5*E$25-$B$7-IF($A28=0,0,$B$8/$A28)-$B$8*$B$9*IF($A28=0,0,(1-$A28)/$A28)-$B$6*IF($A28=0,0,(1-$A28)/$A28)*$B$10-$B$11*IF($A28=0,0,(1-$A28)/$A28)*$B$10-$B$12-$B$13-$B$14-$B$15)/$B$5)</f>
        <v>0.07809523809523808</v>
        <v/>
      </c>
      <c r="F28" s="29">
        <f>IF($B$5=0,0,($B$5-$B$6-$B$5*F$25-$B$7-IF($A28=0,0,$B$8/$A28)-$B$8*$B$9*IF($A28=0,0,(1-$A28)/$A28)-$B$6*IF($A28=0,0,(1-$A28)/$A28)*$B$10-$B$11*IF($A28=0,0,(1-$A28)/$A28)*$B$10-$B$12-$B$13-$B$14-$B$15)/$B$5)</f>
        <v>0.02809523809523808</v>
        <v/>
      </c>
    </row>
    <row r="29">
      <c r="A29" s="25" t="n">
        <v>0.8</v>
      </c>
      <c r="B29" s="29">
        <f>IF($B$5=0,0,($B$5-$B$6-$B$5*B$25-$B$7-IF($A29=0,0,$B$8/$A29)-$B$8*$B$9*IF($A29=0,0,(1-$A29)/$A29)-$B$6*IF($A29=0,0,(1-$A29)/$A29)*$B$10-$B$11*IF($A29=0,0,(1-$A29)/$A29)*$B$10-$B$12-$B$13-$B$14-$B$15)/$B$5)</f>
        <v>0.29</v>
        <v/>
      </c>
      <c r="C29" s="29">
        <f>IF($B$5=0,0,($B$5-$B$6-$B$5*C$25-$B$7-IF($A29=0,0,$B$8/$A29)-$B$8*$B$9*IF($A29=0,0,(1-$A29)/$A29)-$B$6*IF($A29=0,0,(1-$A29)/$A29)*$B$10-$B$11*IF($A29=0,0,(1-$A29)/$A29)*$B$10-$B$12-$B$13-$B$14-$B$15)/$B$5)</f>
        <v>0.24</v>
        <v/>
      </c>
      <c r="D29" s="29">
        <f>IF($B$5=0,0,($B$5-$B$6-$B$5*D$25-$B$7-IF($A29=0,0,$B$8/$A29)-$B$8*$B$9*IF($A29=0,0,(1-$A29)/$A29)-$B$6*IF($A29=0,0,(1-$A29)/$A29)*$B$10-$B$11*IF($A29=0,0,(1-$A29)/$A29)*$B$10-$B$12-$B$13-$B$14-$B$15)/$B$5)</f>
        <v>0.19</v>
        <v/>
      </c>
      <c r="E29" s="29">
        <f>IF($B$5=0,0,($B$5-$B$6-$B$5*E$25-$B$7-IF($A29=0,0,$B$8/$A29)-$B$8*$B$9*IF($A29=0,0,(1-$A29)/$A29)-$B$6*IF($A29=0,0,(1-$A29)/$A29)*$B$10-$B$11*IF($A29=0,0,(1-$A29)/$A29)*$B$10-$B$12-$B$13-$B$14-$B$15)/$B$5)</f>
        <v>0.14</v>
        <v/>
      </c>
      <c r="F29" s="29">
        <f>IF($B$5=0,0,($B$5-$B$6-$B$5*F$25-$B$7-IF($A29=0,0,$B$8/$A29)-$B$8*$B$9*IF($A29=0,0,(1-$A29)/$A29)-$B$6*IF($A29=0,0,(1-$A29)/$A29)*$B$10-$B$11*IF($A29=0,0,(1-$A29)/$A29)*$B$10-$B$12-$B$13-$B$14-$B$15)/$B$5)</f>
        <v>0.09</v>
        <v/>
      </c>
    </row>
    <row r="30">
      <c r="A30" s="25" t="n">
        <v>0.9</v>
      </c>
      <c r="B30" s="29">
        <f>IF($B$5=0,0,($B$5-$B$6-$B$5*B$25-$B$7-IF($A30=0,0,$B$8/$A30)-$B$8*$B$9*IF($A30=0,0,(1-$A30)/$A30)-$B$6*IF($A30=0,0,(1-$A30)/$A30)*$B$10-$B$11*IF($A30=0,0,(1-$A30)/$A30)*$B$10-$B$12-$B$13-$B$14-$B$15)/$B$5)</f>
        <v>0.3381481481481481</v>
        <v/>
      </c>
      <c r="C30" s="29">
        <f>IF($B$5=0,0,($B$5-$B$6-$B$5*C$25-$B$7-IF($A30=0,0,$B$8/$A30)-$B$8*$B$9*IF($A30=0,0,(1-$A30)/$A30)-$B$6*IF($A30=0,0,(1-$A30)/$A30)*$B$10-$B$11*IF($A30=0,0,(1-$A30)/$A30)*$B$10-$B$12-$B$13-$B$14-$B$15)/$B$5)</f>
        <v>0.28814814814814815</v>
        <v/>
      </c>
      <c r="D30" s="29">
        <f>IF($B$5=0,0,($B$5-$B$6-$B$5*D$25-$B$7-IF($A30=0,0,$B$8/$A30)-$B$8*$B$9*IF($A30=0,0,(1-$A30)/$A30)-$B$6*IF($A30=0,0,(1-$A30)/$A30)*$B$10-$B$11*IF($A30=0,0,(1-$A30)/$A30)*$B$10-$B$12-$B$13-$B$14-$B$15)/$B$5)</f>
        <v>0.23814814814814814</v>
        <v/>
      </c>
      <c r="E30" s="29">
        <f>IF($B$5=0,0,($B$5-$B$6-$B$5*E$25-$B$7-IF($A30=0,0,$B$8/$A30)-$B$8*$B$9*IF($A30=0,0,(1-$A30)/$A30)-$B$6*IF($A30=0,0,(1-$A30)/$A30)*$B$10-$B$11*IF($A30=0,0,(1-$A30)/$A30)*$B$10-$B$12-$B$13-$B$14-$B$15)/$B$5)</f>
        <v>0.18814814814814815</v>
        <v/>
      </c>
      <c r="F30" s="29">
        <f>IF($B$5=0,0,($B$5-$B$6-$B$5*F$25-$B$7-IF($A30=0,0,$B$8/$A30)-$B$8*$B$9*IF($A30=0,0,(1-$A30)/$A30)-$B$6*IF($A30=0,0,(1-$A30)/$A30)*$B$10-$B$11*IF($A30=0,0,(1-$A30)/$A30)*$B$10-$B$12-$B$13-$B$14-$B$15)/$B$5)</f>
        <v>0.13814814814814813</v>
        <v/>
      </c>
    </row>
    <row r="31">
      <c r="A31" s="25" t="n">
        <v>1</v>
      </c>
      <c r="B31" s="29">
        <f>IF($B$5=0,0,($B$5-$B$6-$B$5*B$25-$B$7-IF($A31=0,0,$B$8/$A31)-$B$8*$B$9*IF($A31=0,0,(1-$A31)/$A31)-$B$6*IF($A31=0,0,(1-$A31)/$A31)*$B$10-$B$11*IF($A31=0,0,(1-$A31)/$A31)*$B$10-$B$12-$B$13-$B$14-$B$15)/$B$5)</f>
        <v>0.37666666666666665</v>
        <v/>
      </c>
      <c r="C31" s="29">
        <f>IF($B$5=0,0,($B$5-$B$6-$B$5*C$25-$B$7-IF($A31=0,0,$B$8/$A31)-$B$8*$B$9*IF($A31=0,0,(1-$A31)/$A31)-$B$6*IF($A31=0,0,(1-$A31)/$A31)*$B$10-$B$11*IF($A31=0,0,(1-$A31)/$A31)*$B$10-$B$12-$B$13-$B$14-$B$15)/$B$5)</f>
        <v>0.32666666666666666</v>
        <v/>
      </c>
      <c r="D31" s="29">
        <f>IF($B$5=0,0,($B$5-$B$6-$B$5*D$25-$B$7-IF($A31=0,0,$B$8/$A31)-$B$8*$B$9*IF($A31=0,0,(1-$A31)/$A31)-$B$6*IF($A31=0,0,(1-$A31)/$A31)*$B$10-$B$11*IF($A31=0,0,(1-$A31)/$A31)*$B$10-$B$12-$B$13-$B$14-$B$15)/$B$5)</f>
        <v>0.27666666666666667</v>
        <v/>
      </c>
      <c r="E31" s="29">
        <f>IF($B$5=0,0,($B$5-$B$6-$B$5*E$25-$B$7-IF($A31=0,0,$B$8/$A31)-$B$8*$B$9*IF($A31=0,0,(1-$A31)/$A31)-$B$6*IF($A31=0,0,(1-$A31)/$A31)*$B$10-$B$11*IF($A31=0,0,(1-$A31)/$A31)*$B$10-$B$12-$B$13-$B$14-$B$15)/$B$5)</f>
        <v>0.22666666666666666</v>
        <v/>
      </c>
      <c r="F31" s="29">
        <f>IF($B$5=0,0,($B$5-$B$6-$B$5*F$25-$B$7-IF($A31=0,0,$B$8/$A31)-$B$8*$B$9*IF($A31=0,0,(1-$A31)/$A31)-$B$6*IF($A31=0,0,(1-$A31)/$A31)*$B$10-$B$11*IF($A31=0,0,(1-$A31)/$A31)*$B$10-$B$12-$B$13-$B$14-$B$15)/$B$5)</f>
        <v>0.17666666666666667</v>
        <v/>
      </c>
    </row>
    <row r="33">
      <c r="A33" s="30" t="inlineStr">
        <is>
          <t>Положительная маржа — прибыльно; отрицательная — убыток при данных условиях.</t>
        </is>
      </c>
    </row>
  </sheetData>
  <mergeCells count="6">
    <mergeCell ref="A2:I2"/>
    <mergeCell ref="A33:I33"/>
    <mergeCell ref="A1:I1"/>
    <mergeCell ref="A18:I18"/>
    <mergeCell ref="A4:C4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2026-08-12T13:48:57Z</dcterms:created>
  <dcterms:modified xsi:type="dcterms:W3CDTF">2026-08-12T13:48:57Z</dcterms:modified>
</cp:coreProperties>
</file>